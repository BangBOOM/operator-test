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weyang_amd_com/Documents/Desktop/"/>
    </mc:Choice>
  </mc:AlternateContent>
  <xr:revisionPtr revIDLastSave="301" documentId="11_F25DC773A252ABDACC10487AF15E7D2A5ADE58EE" xr6:coauthVersionLast="47" xr6:coauthVersionMax="47" xr10:uidLastSave="{0311B1C9-E025-4D5C-8C97-32C093D4EE57}"/>
  <bookViews>
    <workbookView xWindow="-28660" yWindow="-21710" windowWidth="38620" windowHeight="21100" activeTab="2" xr2:uid="{00000000-000D-0000-FFFF-FFFF00000000}"/>
  </bookViews>
  <sheets>
    <sheet name="Sheet1" sheetId="1" r:id="rId1"/>
    <sheet name="Attention" sheetId="2" r:id="rId2"/>
    <sheet name="Attention Fu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I2" i="3"/>
  <c r="H2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</calcChain>
</file>

<file path=xl/sharedStrings.xml><?xml version="1.0" encoding="utf-8"?>
<sst xmlns="http://schemas.openxmlformats.org/spreadsheetml/2006/main" count="47" uniqueCount="38">
  <si>
    <t>dtype</t>
  </si>
  <si>
    <t>token</t>
  </si>
  <si>
    <t>model_dim</t>
  </si>
  <si>
    <t>inter_dim</t>
  </si>
  <si>
    <t>E</t>
  </si>
  <si>
    <t>topk</t>
  </si>
  <si>
    <t>actType</t>
  </si>
  <si>
    <t>gateMode</t>
  </si>
  <si>
    <t>qType</t>
  </si>
  <si>
    <t>AQDType</t>
  </si>
  <si>
    <t>WQDType</t>
  </si>
  <si>
    <t>use_g1u1</t>
  </si>
  <si>
    <t>doweight_stage1</t>
  </si>
  <si>
    <t>strict_accuracy</t>
  </si>
  <si>
    <t>preshuffle</t>
  </si>
  <si>
    <t>hidden_pad</t>
  </si>
  <si>
    <t>intermediate_pad</t>
  </si>
  <si>
    <t>swiglu_limit</t>
  </si>
  <si>
    <t>us</t>
  </si>
  <si>
    <t>logits_diff</t>
  </si>
  <si>
    <t>model</t>
  </si>
  <si>
    <t>torch.bfloat16</t>
  </si>
  <si>
    <t>separated</t>
  </si>
  <si>
    <t>torch.float4_e2m1fn_x2</t>
  </si>
  <si>
    <t>legacy</t>
  </si>
  <si>
    <t>baseline</t>
  </si>
  <si>
    <t>Qlen</t>
  </si>
  <si>
    <t>KVLen</t>
  </si>
  <si>
    <t>Qheads</t>
  </si>
  <si>
    <t>KVHeads</t>
  </si>
  <si>
    <t>Batch</t>
  </si>
  <si>
    <t>Ratio</t>
  </si>
  <si>
    <t>Duration-B200(us)</t>
  </si>
  <si>
    <t>Duration-MI355(us)</t>
  </si>
  <si>
    <t>mla_a8w8_qh16_qseqlen4_gqaratio16_v3_ps</t>
  </si>
  <si>
    <t>mla_a8w8_qh128_m32x4_n16x2_msk0_ps</t>
  </si>
  <si>
    <t>tflops-mi355</t>
  </si>
  <si>
    <t>tflops-b200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</si>
</sst>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2" fillId="4" borderId="0" xfId="0" applyFont="1" applyFill="1"/>
    <xf numFmtId="0" fontId="0" fillId="6" borderId="0" xfId="0" applyFill="1"/>
    <xf numFmtId="0" fontId="1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6" borderId="0" xfId="0" applyFont="1" applyFill="1"/>
    <xf numFmtId="0" fontId="3" fillId="6" borderId="0" xfId="0" applyFont="1" applyFill="1"/>
    <xf numFmtId="0" fontId="0" fillId="7" borderId="0" xfId="0" applyFill="1"/>
    <xf numFmtId="1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12" Type="http://schemas.openxmlformats.org/officeDocument/2006/relationships/customXml" Target="../ink/ink6.xml"/><Relationship Id="rId17" Type="http://schemas.openxmlformats.org/officeDocument/2006/relationships/image" Target="../media/image11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1" Type="http://schemas.openxmlformats.org/officeDocument/2006/relationships/image" Target="../media/image3.png"/><Relationship Id="rId6" Type="http://schemas.openxmlformats.org/officeDocument/2006/relationships/customXml" Target="../ink/ink3.xml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image" Target="../media/image10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7.png"/><Relationship Id="rId14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27507</xdr:colOff>
      <xdr:row>0</xdr:row>
      <xdr:rowOff>170998</xdr:rowOff>
    </xdr:from>
    <xdr:ext cx="3058593" cy="491467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F3324D-A1DD-3214-59B7-FADF79D94EE1}"/>
            </a:ext>
          </a:extLst>
        </xdr:cNvPr>
        <xdr:cNvSpPr txBox="1"/>
      </xdr:nvSpPr>
      <xdr:spPr>
        <a:xfrm>
          <a:off x="6590232" y="170998"/>
          <a:ext cx="3058593" cy="491467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Attention:</a:t>
          </a:r>
        </a:p>
        <a:p>
          <a:r>
            <a:rPr lang="en-US" sz="1100"/>
            <a:t>B200:  flashinfer</a:t>
          </a:r>
        </a:p>
        <a:p>
          <a:r>
            <a:rPr lang="en-US"/>
            <a:t>python benchmarks/flashinfer_benchmark.py \</a:t>
          </a:r>
          <a:br>
            <a:rPr lang="en-US"/>
          </a:br>
          <a:r>
            <a:rPr lang="en-US"/>
            <a:t> --routine BatchMLAPagedAttentionWrapper \</a:t>
          </a:r>
          <a:br>
            <a:rPr lang="en-US"/>
          </a:br>
          <a:r>
            <a:rPr lang="en-US"/>
            <a:t> --backends trtllm-native \</a:t>
          </a:r>
          <a:br>
            <a:rPr lang="en-US"/>
          </a:br>
          <a:r>
            <a:rPr lang="en-US"/>
            <a:t> --page_size 32 \</a:t>
          </a:r>
          <a:br>
            <a:rPr lang="en-US"/>
          </a:br>
          <a:r>
            <a:rPr lang="en-US"/>
            <a:t> --batch_size 16 \</a:t>
          </a:r>
          <a:br>
            <a:rPr lang="en-US"/>
          </a:br>
          <a:r>
            <a:rPr lang="en-US"/>
            <a:t> --s_qo 1 \</a:t>
          </a:r>
          <a:br>
            <a:rPr lang="en-US"/>
          </a:br>
          <a:r>
            <a:rPr lang="en-US"/>
            <a:t> --s_kv 8192 \</a:t>
          </a:r>
          <a:br>
            <a:rPr lang="en-US"/>
          </a:br>
          <a:r>
            <a:rPr lang="en-US"/>
            <a:t> --num_qo_heads 128 \</a:t>
          </a:r>
          <a:br>
            <a:rPr lang="en-US"/>
          </a:br>
          <a:r>
            <a:rPr lang="en-US"/>
            <a:t> --num_kv_heads 1 \</a:t>
          </a:r>
          <a:br>
            <a:rPr lang="en-US"/>
          </a:br>
          <a:r>
            <a:rPr lang="en-US"/>
            <a:t> --head_dim_ckv 512 \</a:t>
          </a:r>
          <a:br>
            <a:rPr lang="en-US"/>
          </a:br>
          <a:r>
            <a:rPr lang="en-US"/>
            <a:t> --head_dim_kpe 64 \</a:t>
          </a:r>
          <a:br>
            <a:rPr lang="en-US"/>
          </a:br>
          <a:r>
            <a:rPr lang="en-US"/>
            <a:t> --q_dtype fp8_e4m3 \</a:t>
          </a:r>
          <a:br>
            <a:rPr lang="en-US"/>
          </a:br>
          <a:r>
            <a:rPr lang="en-US"/>
            <a:t> --kv_dtype fp8_e4m3 \</a:t>
          </a:r>
          <a:br>
            <a:rPr lang="en-US"/>
          </a:br>
          <a:r>
            <a:rPr lang="en-US"/>
            <a:t> --num_iters 100 \</a:t>
          </a:r>
          <a:br>
            <a:rPr lang="en-US"/>
          </a:br>
          <a:r>
            <a:rPr lang="en-US"/>
            <a:t> --dry_run_iters 10 \</a:t>
          </a:r>
          <a:br>
            <a:rPr lang="en-US"/>
          </a:br>
          <a:r>
            <a:rPr lang="en-US"/>
            <a:t> -vv</a:t>
          </a:r>
        </a:p>
        <a:p>
          <a:endParaRPr lang="en-US" sz="1100"/>
        </a:p>
        <a:p>
          <a:r>
            <a:rPr lang="en-US" sz="1100"/>
            <a:t>MI355 Aiter</a:t>
          </a:r>
        </a:p>
        <a:p>
          <a:r>
            <a:rPr lang="en-US" sz="1100"/>
            <a:t>python op_tests/test_mla_persistent.py \</a:t>
          </a:r>
        </a:p>
        <a:p>
          <a:r>
            <a:rPr lang="en-US" sz="1100"/>
            <a:t>  -d fp8 -kvd fp8 \</a:t>
          </a:r>
        </a:p>
        <a:p>
          <a:r>
            <a:rPr lang="en-US" sz="1100"/>
            <a:t>  -c 8192 \</a:t>
          </a:r>
        </a:p>
        <a:p>
          <a:r>
            <a:rPr lang="en-US" sz="1100"/>
            <a:t>  -b 16 \</a:t>
          </a:r>
        </a:p>
        <a:p>
          <a:r>
            <a:rPr lang="en-US" sz="1100"/>
            <a:t>  -n 128,1 \</a:t>
          </a:r>
        </a:p>
        <a:p>
          <a:r>
            <a:rPr lang="en-US" sz="1100"/>
            <a:t>  -k 512 -qn 512 -qr 64 -vh 512 \</a:t>
          </a:r>
        </a:p>
        <a:p>
          <a:r>
            <a:rPr lang="en-US" sz="1100"/>
            <a:t>  -blk 1 \</a:t>
          </a:r>
        </a:p>
        <a:p>
          <a:r>
            <a:rPr lang="en-US" sz="1100"/>
            <a:t>  -ms 32</a:t>
          </a:r>
        </a:p>
      </xdr:txBody>
    </xdr:sp>
    <xdr:clientData/>
  </xdr:oneCellAnchor>
  <xdr:twoCellAnchor editAs="oneCell">
    <xdr:from>
      <xdr:col>15</xdr:col>
      <xdr:colOff>68035</xdr:colOff>
      <xdr:row>2</xdr:row>
      <xdr:rowOff>144955</xdr:rowOff>
    </xdr:from>
    <xdr:to>
      <xdr:col>26</xdr:col>
      <xdr:colOff>56591</xdr:colOff>
      <xdr:row>28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EA1AD2-D347-8160-2F82-B6E1D6A7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7821" y="525955"/>
          <a:ext cx="6724091" cy="497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491495</xdr:colOff>
      <xdr:row>3</xdr:row>
      <xdr:rowOff>81643</xdr:rowOff>
    </xdr:from>
    <xdr:to>
      <xdr:col>38</xdr:col>
      <xdr:colOff>187776</xdr:colOff>
      <xdr:row>30</xdr:row>
      <xdr:rowOff>144234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8CBD40-3255-E016-96B6-D3EB6136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6816" y="653143"/>
          <a:ext cx="7044139" cy="5206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180975</xdr:colOff>
      <xdr:row>10</xdr:row>
      <xdr:rowOff>851</xdr:rowOff>
    </xdr:from>
    <xdr:to>
      <xdr:col>37</xdr:col>
      <xdr:colOff>3675</xdr:colOff>
      <xdr:row>47</xdr:row>
      <xdr:rowOff>58820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BAF3D-3712-1430-EAE0-B70ACB163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9225" y="1905851"/>
          <a:ext cx="12624300" cy="7106469"/>
        </a:xfrm>
        <a:prstGeom prst="rect">
          <a:avLst/>
        </a:prstGeom>
      </xdr:spPr>
    </xdr:pic>
    <xdr:clientData/>
  </xdr:twoCellAnchor>
  <xdr:twoCellAnchor editAs="oneCell">
    <xdr:from>
      <xdr:col>14</xdr:col>
      <xdr:colOff>327910</xdr:colOff>
      <xdr:row>26</xdr:row>
      <xdr:rowOff>91675</xdr:rowOff>
    </xdr:from>
    <xdr:to>
      <xdr:col>21</xdr:col>
      <xdr:colOff>17125</xdr:colOff>
      <xdr:row>38</xdr:row>
      <xdr:rowOff>34925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2B33A93-3ECC-98A5-1280-052BC47B7615}"/>
                </a:ext>
              </a:extLst>
            </xdr14:cNvPr>
            <xdr14:cNvContentPartPr/>
          </xdr14:nvContentPartPr>
          <xdr14:nvPr macro=""/>
          <xdr14:xfrm>
            <a:off x="10506960" y="5044675"/>
            <a:ext cx="3956415" cy="2219725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2B33A93-3ECC-98A5-1280-052BC47B761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488891" y="5027016"/>
              <a:ext cx="3992192" cy="22546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533400</xdr:colOff>
      <xdr:row>33</xdr:row>
      <xdr:rowOff>61259</xdr:rowOff>
    </xdr:from>
    <xdr:to>
      <xdr:col>22</xdr:col>
      <xdr:colOff>169585</xdr:colOff>
      <xdr:row>36</xdr:row>
      <xdr:rowOff>111955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C328DF6-5837-C507-AB09-AD3B7BFE64AE}"/>
                </a:ext>
              </a:extLst>
            </xdr14:cNvPr>
            <xdr14:cNvContentPartPr/>
          </xdr14:nvContentPartPr>
          <xdr14:nvPr macro=""/>
          <xdr14:xfrm>
            <a:off x="11322050" y="6347759"/>
            <a:ext cx="3903385" cy="622196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C328DF6-5837-C507-AB09-AD3B7BFE64A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304022" y="6329766"/>
              <a:ext cx="3939080" cy="6578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294965</xdr:colOff>
      <xdr:row>40</xdr:row>
      <xdr:rowOff>40365</xdr:rowOff>
    </xdr:from>
    <xdr:to>
      <xdr:col>23</xdr:col>
      <xdr:colOff>588365</xdr:colOff>
      <xdr:row>41</xdr:row>
      <xdr:rowOff>130895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2A3FC10-5181-4CF7-E154-9DC3BC5B3823}"/>
                </a:ext>
              </a:extLst>
            </xdr14:cNvPr>
            <xdr14:cNvContentPartPr/>
          </xdr14:nvContentPartPr>
          <xdr14:nvPr macro=""/>
          <xdr14:xfrm>
            <a:off x="15960415" y="7660365"/>
            <a:ext cx="293400" cy="271505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2A3FC10-5181-4CF7-E154-9DC3BC5B382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942775" y="7642929"/>
              <a:ext cx="329040" cy="306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121890</xdr:colOff>
      <xdr:row>41</xdr:row>
      <xdr:rowOff>158750</xdr:rowOff>
    </xdr:from>
    <xdr:to>
      <xdr:col>23</xdr:col>
      <xdr:colOff>309249</xdr:colOff>
      <xdr:row>50</xdr:row>
      <xdr:rowOff>15630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DD5A675-0F3D-9FF7-BA00-0DCA16EF5320}"/>
                </a:ext>
              </a:extLst>
            </xdr14:cNvPr>
            <xdr14:cNvContentPartPr/>
          </xdr14:nvContentPartPr>
          <xdr14:nvPr macro=""/>
          <xdr14:xfrm>
            <a:off x="9691340" y="7969250"/>
            <a:ext cx="6283359" cy="1561855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DD5A675-0F3D-9FF7-BA00-0DCA16EF532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673672" y="7951252"/>
              <a:ext cx="6319056" cy="1597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462160</xdr:colOff>
      <xdr:row>24</xdr:row>
      <xdr:rowOff>36060</xdr:rowOff>
    </xdr:from>
    <xdr:to>
      <xdr:col>20</xdr:col>
      <xdr:colOff>71440</xdr:colOff>
      <xdr:row>25</xdr:row>
      <xdr:rowOff>135000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441DED2-FF4D-6325-07D5-90C84DE767BF}"/>
                </a:ext>
              </a:extLst>
            </xdr14:cNvPr>
            <xdr14:cNvContentPartPr/>
          </xdr14:nvContentPartPr>
          <xdr14:nvPr macro=""/>
          <xdr14:xfrm>
            <a:off x="13365360" y="4417560"/>
            <a:ext cx="218880" cy="2894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441DED2-FF4D-6325-07D5-90C84DE767B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347720" y="4399920"/>
              <a:ext cx="254520" cy="32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507770</xdr:colOff>
      <xdr:row>25</xdr:row>
      <xdr:rowOff>116325</xdr:rowOff>
    </xdr:from>
    <xdr:to>
      <xdr:col>19</xdr:col>
      <xdr:colOff>530135</xdr:colOff>
      <xdr:row>40</xdr:row>
      <xdr:rowOff>35735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203F126-88FB-4A63-CE71-D6A519F82666}"/>
                </a:ext>
              </a:extLst>
            </xdr14:cNvPr>
            <xdr14:cNvContentPartPr/>
          </xdr14:nvContentPartPr>
          <xdr14:nvPr macro=""/>
          <xdr14:xfrm>
            <a:off x="9143770" y="4688325"/>
            <a:ext cx="4283215" cy="27705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203F126-88FB-4A63-CE71-D6A519F8266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125758" y="4670931"/>
              <a:ext cx="4318878" cy="2805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163535</xdr:colOff>
      <xdr:row>19</xdr:row>
      <xdr:rowOff>155520</xdr:rowOff>
    </xdr:from>
    <xdr:to>
      <xdr:col>19</xdr:col>
      <xdr:colOff>188200</xdr:colOff>
      <xdr:row>28</xdr:row>
      <xdr:rowOff>73555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6CF3201-AA2F-81C6-D1C4-8ED58AC59EA3}"/>
                </a:ext>
              </a:extLst>
            </xdr14:cNvPr>
            <xdr14:cNvContentPartPr/>
          </xdr14:nvContentPartPr>
          <xdr14:nvPr macro=""/>
          <xdr14:xfrm>
            <a:off x="10018735" y="3584520"/>
            <a:ext cx="3072665" cy="1632535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6CF3201-AA2F-81C6-D1C4-8ED58AC59EA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001113" y="3566521"/>
              <a:ext cx="3108268" cy="1668174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24</xdr:col>
      <xdr:colOff>107950</xdr:colOff>
      <xdr:row>38</xdr:row>
      <xdr:rowOff>168275</xdr:rowOff>
    </xdr:from>
    <xdr:ext cx="1473200" cy="43678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EFD1E54-A067-A9A4-5D28-1B4E9414F80F}"/>
            </a:ext>
          </a:extLst>
        </xdr:cNvPr>
        <xdr:cNvSpPr txBox="1"/>
      </xdr:nvSpPr>
      <xdr:spPr>
        <a:xfrm>
          <a:off x="16383000" y="7407275"/>
          <a:ext cx="14732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MTP3</a:t>
          </a:r>
        </a:p>
        <a:p>
          <a:r>
            <a:rPr lang="en-US" sz="1100">
              <a:solidFill>
                <a:srgbClr val="FF0000"/>
              </a:solidFill>
            </a:rPr>
            <a:t>DP Attention False</a:t>
          </a:r>
        </a:p>
      </xdr:txBody>
    </xdr:sp>
    <xdr:clientData/>
  </xdr:oneCellAnchor>
  <xdr:oneCellAnchor>
    <xdr:from>
      <xdr:col>22</xdr:col>
      <xdr:colOff>454025</xdr:colOff>
      <xdr:row>27</xdr:row>
      <xdr:rowOff>111125</xdr:rowOff>
    </xdr:from>
    <xdr:ext cx="1473200" cy="43678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753742A-0857-4AD3-961D-B7EBEEA59157}"/>
            </a:ext>
          </a:extLst>
        </xdr:cNvPr>
        <xdr:cNvSpPr txBox="1"/>
      </xdr:nvSpPr>
      <xdr:spPr>
        <a:xfrm>
          <a:off x="15509875" y="5254625"/>
          <a:ext cx="14732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MTP3</a:t>
          </a:r>
        </a:p>
        <a:p>
          <a:r>
            <a:rPr lang="en-US" sz="1100">
              <a:solidFill>
                <a:srgbClr val="FF0000"/>
              </a:solidFill>
            </a:rPr>
            <a:t>DP Attention True</a:t>
          </a:r>
        </a:p>
      </xdr:txBody>
    </xdr:sp>
    <xdr:clientData/>
  </xdr:oneCellAnchor>
  <xdr:twoCellAnchor editAs="oneCell">
    <xdr:from>
      <xdr:col>20</xdr:col>
      <xdr:colOff>161885</xdr:colOff>
      <xdr:row>24</xdr:row>
      <xdr:rowOff>190260</xdr:rowOff>
    </xdr:from>
    <xdr:to>
      <xdr:col>22</xdr:col>
      <xdr:colOff>403565</xdr:colOff>
      <xdr:row>35</xdr:row>
      <xdr:rowOff>54535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5A8F823-A458-7D59-BF5D-B1182EA08B1F}"/>
                </a:ext>
              </a:extLst>
            </xdr14:cNvPr>
            <xdr14:cNvContentPartPr/>
          </xdr14:nvContentPartPr>
          <xdr14:nvPr macro=""/>
          <xdr14:xfrm>
            <a:off x="13998535" y="4762260"/>
            <a:ext cx="1460880" cy="195660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5A8F823-A458-7D59-BF5D-B1182EA08B1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3992403" y="4756150"/>
              <a:ext cx="1473144" cy="19688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19</xdr:col>
      <xdr:colOff>333375</xdr:colOff>
      <xdr:row>18</xdr:row>
      <xdr:rowOff>187325</xdr:rowOff>
    </xdr:from>
    <xdr:ext cx="1473200" cy="43678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415348-90A5-40CE-A57E-6D2A80C64DB0}"/>
            </a:ext>
          </a:extLst>
        </xdr:cNvPr>
        <xdr:cNvSpPr txBox="1"/>
      </xdr:nvSpPr>
      <xdr:spPr>
        <a:xfrm>
          <a:off x="13560425" y="3616325"/>
          <a:ext cx="14732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MTP1</a:t>
          </a:r>
        </a:p>
        <a:p>
          <a:r>
            <a:rPr lang="en-US" sz="1100">
              <a:solidFill>
                <a:srgbClr val="FF0000"/>
              </a:solidFill>
            </a:rPr>
            <a:t>DP Attention True</a:t>
          </a:r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4:55:59.81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10140 898 8192,'-1'-75'3322,"-1"12"-351,10-88-1,-5 131-2725,0 0 0,2 0 0,0 0 0,1 1 0,1 0 0,0 0 0,2 0 0,15-25 0,1 1-245,-17 29 0,0 0 0,0 0 0,21-23 0,10-6-930,-17 17-754,0 1 1,2 1 0,1 1-1,0 2 1,47-31 0,-43 36 1409,48-18 0,-64 29 290,0 1-1,1 0 1,-1 1 0,1 0-1,0 1 1,18 0 0,-28 3 251,1-1 0,-1 1 0,0 0 0,0 0 0,0 0 0,0 1 0,0 0 0,0 0 0,0 0 0,-1 0 0,1 0 0,0 1 0,-1-1 0,0 1 0,0 0 0,0 0 0,0 0 0,0 1 0,0-1 0,-1 1 0,3 4 0,2 4 572,-1 1 0,0 0 0,-1 0 1,0 0-1,4 20 0,14 90-6024,10 147 0,-27-207 4646,11 109 786,-7 183 1,-15-325-757,3-23 1208,-1-1 0,1 0 0,-1 0 0,-7 10-1,-2 0 1459,-26 28 0,24-29-3992,4-5 2182,-1 1 0,0-2 1,-1 1-1,1-2 0,-2 0 1,1 0-1,-1-1 0,-22 8 1,25-11-150,-1-1 1,0 0 0,1 0-1,-2-1 1,1-1-1,0 0 1,0 0 0,0-1-1,0-1 1,0 0 0,-20-4-1,-30-15-4870,-115-54 0,89 34 2548,48 24 2124,21 10 0,0-2 0,0 0 0,0-1 0,1-1 0,-18-14 0,25 15 0</inkml:trace>
  <inkml:trace contextRef="#ctx0" brushRef="#br0" timeOffset="1117.77">10341 963 8192,'-17'10'4780,"-29"20"1,6-3-2874,-710 389-5765,-23-40-2310,333-165 4726,-989 446 1442,528-209 0,420-129 0,27 20 0,166-123 0,-192 129 0,-24-39 0,250-177 0,-332 185 0,312-141 0,-91 54 0,264-171 0,-187 74 0,-99-2 0,1-1 0,-451 162 8363,732-248-5258,87-33-3105</inkml:trace>
  <inkml:trace contextRef="#ctx0" brushRef="#br0" timeOffset="2632.54">141 5944 8192,'0'7'886,"-1"0"1,0 0-1,0 0 1,-1 0-1,0 0 1,-1 0-1,1 0 1,-5 7-1,-31 51 2517,32-55-3316,-20 26-87,18-25 0,0 0 0,0 1 0,1 0 0,0 0 0,-5 15 0,12-26 3,-1 0 0,1 0-1,0 0 1,0 0 0,-1 0-1,1 0 1,0 0 0,0 0-1,0 1 1,0-1 0,0 0-1,1 0 1,-1 0 0,0 0-1,0 0 1,1 0 0,-1 0-1,1 0 1,-1 0 0,1 0-1,-1 0 1,1 0 0,0 0-1,-1 0 1,1 0 0,0 0-1,0 0 1,0-1 0,-1 1-1,1 0 1,0-1 0,0 1-1,0-1 1,0 1 0,0-1-1,0 1 1,0-1 0,0 0-1,0 1 1,0-1 0,1 0-1,-1 0 1,1 0 0,9 2-75,-1-1 0,1-1-1,18-1 1,-16 1-252,123-3-1504,99 0-3930,-169 6 4064,100 16 1,-125-12 5516,1-1-1,64-1 1,-90-5-3823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4:59:52.54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10049 1122 8192,'0'-5'1348,"1"0"1,-1 0 0,1 0-1,0-1 1,0 1 0,1 0-1,3-9 1,-2 8-1069,1 0 0,-1 0 0,1 0 0,0 0 0,8-7 1,-6 7-431,1 0 0,0 0 1,0 0-1,1 1 0,0 0 1,0 0-1,0 1 0,0 0 1,12-4-1,5 2-917,-1 0 0,1 1 0,45-1-1,79 5-4563,-75 3 4558,-62-2 1197,0 0-1,0 1 1,0 0 0,20 5 0,-28-5-132,0 1 1,0 0 0,0-1 0,0 1-1,-1 1 1,1-1 0,0 1-1,-1-1 1,0 1 0,0 0 0,0 0-1,0 1 1,0-1 0,0 0-1,-1 1 1,3 5 0,12 24-189,-2 1 1,20 63-1,9 76 770,-42-163-497,12 54 7799,-4 3-3900,-5-1-5572,-7-1-7244,2-61 9927,-1 0-1,0 0 1,0 0-1,0 0 0,-3 7 1,2-7-571,0-1 1,0 1 0,-1-1-1,1 0 1,-5 5-1,3-4-557,-1 0-1,0 0 0,-1 0 1,1-1-1,-1 0 0,1 0 1,-12 4-1,4-2-721,-1-1 0,0-1 0,-23 3 0,-10-3 3079,-241-3-9546,101-2 3936,179 2 3357,1-1 1,-1 0 0,1-1 0,0 0-1,0 0 1,-1 0 0,1-1-1,1 0 1,-1 0 0,0-1-1,1 0 1,-1 0 0,-9-9-1,1 0-52,2 0 0,0-1-1,1-1 1,-15-21-1,-12-25 1433,16 20-3335,18 30 2503,0 0 0,0-1 0,1 0 0,1 1 0,0-1 0,1 0 0,-2-16 0,3-87 3056,2 68-1687,-1 30-1917,1 0-1,0 0 1,1 1-1,1-1 1,1 1 0,6-20-1,-1 16-62</inkml:trace>
  <inkml:trace contextRef="#ctx0" brushRef="#br0" timeOffset="1468.06">9910 1301 8192,'-100'-1'8770,"0"-1"-6401,-199-6-7200,234 6 5721,-992-42-8088,50-25 7198,520 33 0,453 33 0,-868-56 0,-1017-15 0,1663 68 0,-98-1 0,304 5 0,-1-3 0,-67-15 0,11 2 0,-224-15 0,-2 18 0,300 14 0,-73-6 0,0-3 0,2-6 0,0-4 0,-137-45 0,158 41 825,0 2 0,-140-16 1,153 29 2171,0-3 1,-98-29-1,14 2-2997,44 11 0,54 14 0,-89-33 0,112 33 0,19 7 0,-1 0 0,0 2 0,0-1 0,-1 2 0,1 0 0,-21-2 0,20 5-268,-42-6-3322,52 6 3147,1 0 0,0 0 0,-1-1 0,1 0 0,0 0 0,0-1 0,0 1 0,-5-5 0,1 0-531</inkml:trace>
  <inkml:trace contextRef="#ctx0" brushRef="#br0" timeOffset="2401.89">404 0 8192,'-3'1'752,"0"-1"1,1 1-1,-1-1 0,0 1 1,1 0-1,-1 0 1,1 0-1,-1 0 1,-3 3-1,-22 15 2889,20-12-3338,-7 4-303,-1 0 0,0 0 0,-1-2 0,0 0 0,-20 7 0,-139 45 0,173-61-28,1 1 0,-1 0 0,1 0 0,0 0 0,0 1 0,-1-1 0,1 0 0,0 1 1,0 0-1,0-1 0,0 1 0,0 0 0,1 0 0,-1 0 0,1 0 0,-1 0 0,1 0 0,0 1 0,0-1 0,-1 0 0,2 1 0,-1-1 0,0 1 0,0-1 0,1 1 0,0-1 0,-1 1 0,1 0 0,0-1 0,0 1 0,0-1 0,1 1 0,-1 0 0,2 4 0,1 5-231,1-1-1,0 0 0,1 0 1,0 0-1,1 0 0,7 10 1,73 94-4434,2 3 714,-48-61 7648,-23-34 231,28 49-1,-38-58-3899,0-4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5:03:11.39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54 38 6553,'0'-1'23,"0"-1"0,1 1 0,-1-1 0,0 1 0,1 0 0,0-1 0,-1 1 0,1 0 0,0 0 0,-1 0 0,1-1 0,0 1 0,0 0 0,0 0-1,0 0 1,0 0 0,0 0 0,1 0 0,-1 1 0,0-1 0,0 0 0,1 1 0,-1-1 0,0 1 0,1-1 0,-1 1 0,2-1 0,4-1 182,0 0 0,0 1 0,14-2 0,43 2 1379,-1 2-1,119 19 1,-134-14-862,-11-1-26,58 13 0,-85-15-542,-1 0-1,1 0 0,-1 1 1,0 0-1,0 1 0,-1 0 0,1 0 1,-1 1-1,0 0 0,-1 0 1,8 8-1,-8-6 78,-1 2-1,0-1 1,0 1 0,0 0 0,6 19 0,16 57 1026,-21-61-940,-3-15-150,-1 1-1,-1 1 1,0-1-1,-1 0 1,0 0 0,0 1-1,-2-1 1,1 0 0,-1 1-1,-3 10 1,2-15-46,0 0-1,0 0 1,-1-1 0,0 1 0,0-1-1,-1 0 1,1 0 0,-1 0 0,-1 0 0,1-1-1,-1 0 1,0 0 0,0 0 0,0 0-1,-1-1 1,0 0 0,-6 4 0,-3 1 105,-24 22 0,28-22-117,0 0 0,-1 0 0,-23 12 0,-25 10-109,37-18 0,0-1 0,-33 12 0,22-13 0,-72 22 0,91-29 0,0-2 0,0 0 0,0 0 0,0-2 0,-22-1 0,33 1-54,0-1 1,0-1-1,1 1 0,-1 0 0,0-1 0,0 0 0,1 0 0,-1 0 1,1 0-1,0-1 0,0 1 0,0-1 0,0 0 0,0 0 1,0 0-1,1 0 0,-3-4 0,-5-8-329,1 0 0,-11-24 0,8 8-419,1-1 0,-13-60 0,7 23-233,9 35 383,1-1-1,1-1 0,3 1 1,0-56-1,3 3-508,0 73 1121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5:03:15.99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17426 0 6553,'-56'2'3112,"-98"15"0,-50 24 1201,62-10-2124,-56 6 789,-307 53-1355,-253 47-928,197-28-695,-925 183 0,256 2 0,-377 130 0,-2-36 0,1450-351 0,-1862 402 0,1636-364 0,-903 192 0,358 15 0,315-86 0,-401 66 0,226-52 0,615-158 0,-600 162 0,743-207 0,-79 21 0,95-23 0,0 1 0,0 0 0,1 2 0,-23 13 0,20-9 0,-32 16 0,36-22 0</inkml:trace>
  <inkml:trace contextRef="#ctx0" brushRef="#br0" timeOffset="1034.81">417 3671 6553,'0'7'297,"-1"-1"0,0 1 0,0-1 0,-1 0 0,0 1 0,0-1 0,-6 11 0,-25 42 870,22-41-652,-35 54 789,-4-1 0,-101 111 0,136-163-700,0 1 1,1 0-1,-13 26 0,6-10-123,20-34-454,-1 2 32,-1 0 0,1 0 1,0 0-1,0 0 0,-1 7 0,2-10-35,1 0-1,0 0 0,0-1 1,0 1-1,0 0 0,0 0 1,0 0-1,0-1 0,0 1 0,0 0 1,1 0-1,-1-1 0,0 1 1,0 0-1,1 0 0,-1-1 1,0 1-1,1 0 0,-1-1 1,1 1-1,-1 0 0,1-1 1,-1 1-1,1-1 0,-1 1 1,1-1-1,0 1 0,-1-1 1,1 1-1,0-1 0,-1 0 0,1 1 1,0-1-1,-1 0 0,1 0 1,0 1-1,0-1 0,0 0 1,-1 0-1,2 0 0,26 3 708,1-1-1,-1-1 0,29-3 1,-5 0 72,156 1 215,102-3 55,-282 2-1073,1-2 0,30-8 0,27-4 0,-70 14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5:14:44.40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21 288 8192,'0'-21'2159,"1"1"0,5-37 0,-4 50-1706,0-1 1,1 0 0,-1 1 0,1 0 0,1 0-1,-1 0 1,1 0 0,1 0 0,-1 1-1,8-9 1,-3 5-454,5-6 0,0 1 0,19-14 0,-29 25 0,1 0 0,0 1 0,0 0 0,0 0 0,0 1 0,0-1 0,0 1 0,1 0 0,-1 0 0,1 1 0,0 0 0,8-1 0,0 1 0,-1 1 0,0 0 0,0 0 0,1 2 0,-1 0 0,0 0 0,0 1 0,-1 1 0,1 0 0,-1 0 0,0 2 0,0-1 0,22 15 0,8 8-1340,32 23-4292,-67-45 5125,0 0 0,0 0 0,0 1 1,-1 1-1,0-1 0,0 1 0,4 8 0,-6-6 460,-1-1 0,0 1 0,-1-1 0,0 1 0,-1 0 0,0 0 0,0 0 0,-1 0 0,-1 11 0,1 0 76,0 44-29,-7 213 0,6-267 238,0 0 0,-1 0 0,0 0 0,-1 0 0,-7 18 0,9-26-111,-1 0 0,1 0 1,-1 0-1,0 0 0,0-1 0,0 1 1,-1 0-1,1-1 0,-1 1 1,1-1-1,-1 0 0,0 0 0,0 0 1,0 0-1,0-1 0,0 1 0,0-1 1,-1 0-1,1 1 0,0-1 0,-1-1 1,-4 2-1,-28 0 2227,0-1 0,-50-6 1,77 5-2305,1-1-213,1 0 0,-1-1 0,1 1 1,0-1-1,0-1 0,0 1 0,0-1 0,0 0 0,0-1 0,-11-8 0,8 4-400,0 0 0,1-1 0,0 0 0,1 0-1,0-1 1,-7-11 0,1-3-393,0-1 1,1-1-1,2 0 0,1-1 0,-8-29 1,-17-79 955,34 132 365,0 1 0,0-1 0,0 1 0,0 0 0,0-1 0,0 1 0,-1 0 1,1 0-1,-1 0 0,1 0 0,-1 0 0,0 0 0,0 0 0,-3-2 0,-32-17 5597,34 20-5932,-7-3-30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5:14:48.18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11889 146 8192,'-21'-10'1966,"-1"1"1,-1 1 0,-36-8 0,-76-8 1505,105 19-3343,-753-63-4412,-10 63-1825,588 6 5469,-203 13 91,317-6 585,0 5-1,-129 34 1,-271 113-37,7 21 0,353-131 0,-116 49 0,5 11 0,-356 221 0,59 41 0,96-62 0,-82 23 0,-92 62 0,29 44 0,109-24 0,-2 2 0,205-185 0,-330 283 0,33 34 0,502-471-70,-81 115 0,112-133 303,2 1 0,-54 122 0,-25 71 8485,9-3-7530,-44 107-185,126-289-1003,9-24 0,-1 0 0,-40 71 0,37-76 0,1 0 0,2 2 0,-21 70 0,25-65 0,-3 0 0,-36 70 0,-67 118 0,113-217 0,-6 30 0,9-32 0,-1 0 0,-10 23 0,13-33 0,-1-2 0,0 1 0,0 0 0,0 0 0,0-1 0,-1 0 0,0 0 0,0 0 0,0 0 0,0 0 0,-7 4 0,0-3 0</inkml:trace>
  <inkml:trace contextRef="#ctx0" brushRef="#br0" timeOffset="1222.82">0 7231 8192,'3'3'984,"0"1"1,-1-1 0,0 1 0,1 0-1,-1-1 1,-1 1 0,3 8-1,8 31 2483,-10-35-3343,6 34-538,-3-1 1,-1 1-1,-2 64 0,0 11-168,-1-104 862,1 0-1,0-1 1,5 14 0,-6-21-179,0 0 1,1 0 0,0 0-1,0 0 1,1 0 0,-1-1-1,1 1 1,0-1 0,0 0-1,4 4 1,-4-5-155,1-1 0,-1 0 0,0 0 0,1 0 0,0-1 0,-1 1 1,1-1-1,0 0 0,-1 0 0,1 0 0,0-1 0,0 1 0,0-1 0,0 0 0,0 0 0,0 0 0,0-1 0,0 1 0,-1-1 0,1 0 0,0 0 0,5-2 0,9-4-601,-1-1 0,1-1 0,20-13 0,-25 13 133,231-147-3055,94-53 39,-271 171 3198,68-33 2589,-110 60 7307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5:24:07.08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7527 520 8192,'3'-3'1040,"0"-1"0,0-1 1,-1 1-1,1 0 0,-1-1 1,0 1-1,-1-1 0,1 0 1,1-6-1,4-11 25,5-6-1065,1 0 0,2 2 0,0 0 0,20-26 0,-6 15 0,64-64 0,-69 78 0,1 1 0,54-36 0,-68 51 0,0 1 0,1 0 0,0 1 0,0 0 0,0 1 0,0 1 0,1-1 0,-1 2 0,1 0 0,23-1 0,-4 4 0,0 2 0,0 1 0,-1 2 0,59 17 0,-48-9 0,-1 3 0,77 42 0,-112-56 0,0 1 0,0-1 0,0 2 0,-1-1 0,0 1 0,0-1 0,9 12 0,-11-12 0,-1 0 0,0 0 0,0 1 0,0-1 0,0 0 0,-1 1 0,0-1 0,0 1 0,0 0 0,0-1 0,-1 1 0,0 8 0,-10 393-495,10-401-342,0-1 0,0 1 0,-1-1 1,1 1-1,-1-1 0,-2 9 0,2-12 593,0 1 1,0-1-1,0 1 1,0-1-1,0 1 1,0-1-1,0 0 0,-1 1 1,1-1-1,0 0 1,-1 0-1,1 0 0,-1 0 1,1 0-1,-1 0 1,0-1-1,1 1 1,-1 0-1,0-1 0,-2 1 1,-142 32 243,63-16 0,61-12 0,-37 9 0,-1-2 0,-91 5 0,140-17 608,1-1 1,-1 0 0,1-1 0,0 0-1,0-1 1,-13-4 0,-60-29 5687,51 21-5385,-18-10-911,24 11 0,-48-16 0,62 26 0</inkml:trace>
  <inkml:trace contextRef="#ctx0" brushRef="#br0" timeOffset="1020.6">7607 573 8192,'-235'6'10448,"5"10"-10300,-231 35-7196,458-51 7043,-1184 215-3538,1117-199 3543,0 3 0,2 3 0,1 4 0,-126 66 0,1 25 0,-62 35 0,-212 99 0,-447 257 0,863-477 0,-348 213 0,14 24 0,260-166 0,-184 193 0,-70 152 0,346-405 0,-174 213 0,141-182 0,-101 89 0,122-127 1994,-3-2 0,-60 33 1,30-20 374,25-15-1590,-1-2 0,-1-2 0,-89 30 0,-17-3-779,144-50 0</inkml:trace>
  <inkml:trace contextRef="#ctx0" brushRef="#br0" timeOffset="1837.38">260 3951 8192,'0'11'405,"-1"0"1,0-1-1,-1 1 1,-1-1 0,1 1-1,-2-1 1,1 0-1,-1 0 1,-1 0-1,-6 11 1,-9 9 2314,-40 48 0,4-7-1153,31-37-1567,13-18 0,0 0 0,1 1 0,-11 23 0,21-38 4,0 0-1,0 1 1,1-1-1,-1 1 1,0-1-1,1 1 1,0-1-1,0 1 1,0-1 0,0 1-1,0-1 1,0 1-1,0-1 1,1 1-1,0-1 1,-1 0-1,1 1 1,0-1-1,0 0 1,0 1-1,0-1 1,1 0 0,-1 0-1,1 0 1,-1 0-1,1 0 1,0 0-1,-1 0 1,1-1-1,0 1 1,0-1-1,0 1 1,1-1-1,3 2 1,2 1-73,1 0 0,0 0 1,-1-1-1,1 0 0,1 0 0,-1-1 1,0-1-1,11 2 0,202 0-6054,-16 0 1273,38 21 4850,-57-3 0,-168-20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5:40:34.938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0 0 24575,'18'1'0,"0"0"0,0 1 0,-1 1 0,1 0 0,32 11 0,-32-9 0,153 45 0,592 155-1853,-185-53 689,-259-56 763,385 169-1,-411-140 3643,149 49-2662,-136-69-579,-226-78 0,-75-25 0,0 0 0,-1 0 0,1 1 0,-1 0 0,0 0 0,0 0 0,0 0 0,0 1 0,0 0 0,-1 0 0,4 5 0,6 9 0,14 27 0,-17-27 0,4 6 0,-2-3 0,0 1 0,2-1 0,29 33 0,-21-25-1365,-16-21-5461</inkml:trace>
  <inkml:trace contextRef="#ctx0" brushRef="#br0" timeOffset="1132.47">1391 1582 24575,'1145'0'0,"-1074"2"0,85 14 0,66 23 0,-60-10 0,-138-26 0,43-1 0,-9-1 0,486 13 0,-476-16-1365,-18-2-5461</inkml:trace>
  <inkml:trace contextRef="#ctx0" brushRef="#br0" timeOffset="2803.19">3186 5444 24575,'1'-17'0,"1"0"0,0 1 0,9-32 0,-3 13 0,47-228 0,166-728 0,-108 598 0,-18 69 0,-56 194 0,88-197 0,-99 253 0,-3 0 0,16-81 0,-17 61 0,-8 29 0,-4-1 0,7-101 0,-13-134 0,-6 269 0,1 11 0,7-38 0,-4 38 0,1-37 0,-5 23-1365,0 20-5461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zoomScaleNormal="100" workbookViewId="0">
      <selection activeCell="E25" sqref="E25"/>
    </sheetView>
  </sheetViews>
  <sheetFormatPr defaultRowHeight="15" x14ac:dyDescent="0.25"/>
  <cols>
    <col min="8" max="8" width="15" customWidth="1"/>
    <col min="9" max="9" width="16.5703125" customWidth="1"/>
    <col min="10" max="10" width="26" customWidth="1"/>
    <col min="11" max="11" width="20" customWidth="1"/>
    <col min="12" max="12" width="10.5703125" customWidth="1"/>
    <col min="13" max="13" width="15.140625" customWidth="1"/>
    <col min="15" max="15" width="14.7109375" customWidth="1"/>
    <col min="16" max="16" width="12.42578125" customWidth="1"/>
    <col min="17" max="17" width="12.85546875" customWidth="1"/>
    <col min="18" max="18" width="17" customWidth="1"/>
    <col min="19" max="19" width="11.140625" customWidth="1"/>
    <col min="20" max="20" width="12.42578125" customWidth="1"/>
    <col min="22" max="22" width="17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2" x14ac:dyDescent="0.25">
      <c r="A2" t="s">
        <v>21</v>
      </c>
      <c r="B2">
        <v>2048</v>
      </c>
      <c r="C2">
        <v>7168</v>
      </c>
      <c r="D2">
        <v>2048</v>
      </c>
      <c r="E2">
        <v>32</v>
      </c>
      <c r="F2">
        <v>8</v>
      </c>
      <c r="G2" t="s">
        <v>22</v>
      </c>
      <c r="H2">
        <v>3</v>
      </c>
      <c r="I2" t="s">
        <v>23</v>
      </c>
      <c r="J2" t="s">
        <v>23</v>
      </c>
      <c r="K2" t="s">
        <v>23</v>
      </c>
      <c r="L2" t="b">
        <v>1</v>
      </c>
      <c r="M2" t="b">
        <v>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639.95600000000002</v>
      </c>
      <c r="T2">
        <v>5.9925099999999997E-4</v>
      </c>
      <c r="U2" t="s">
        <v>24</v>
      </c>
      <c r="V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55CD-F7CF-460B-AE1C-B2F7857069DC}">
  <dimension ref="A1:H15"/>
  <sheetViews>
    <sheetView zoomScaleNormal="100" workbookViewId="0">
      <selection activeCell="I19" sqref="I19"/>
    </sheetView>
  </sheetViews>
  <sheetFormatPr defaultRowHeight="15" x14ac:dyDescent="0.25"/>
  <cols>
    <col min="5" max="5" width="9.140625" style="1"/>
    <col min="6" max="6" width="17.5703125" customWidth="1"/>
    <col min="7" max="7" width="16.85546875" customWidth="1"/>
  </cols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s="1" t="s">
        <v>30</v>
      </c>
      <c r="F1" t="s">
        <v>33</v>
      </c>
      <c r="G1" t="s">
        <v>32</v>
      </c>
      <c r="H1" t="s">
        <v>31</v>
      </c>
    </row>
    <row r="2" spans="1:8" x14ac:dyDescent="0.25">
      <c r="A2">
        <v>1</v>
      </c>
      <c r="B2">
        <v>8192</v>
      </c>
      <c r="C2">
        <v>128</v>
      </c>
      <c r="D2">
        <v>1</v>
      </c>
      <c r="E2" s="1">
        <v>1</v>
      </c>
      <c r="F2">
        <v>29.571100000000001</v>
      </c>
      <c r="G2">
        <v>16</v>
      </c>
      <c r="H2">
        <f>F2/G2</f>
        <v>1.8481937500000001</v>
      </c>
    </row>
    <row r="3" spans="1:8" x14ac:dyDescent="0.25">
      <c r="A3">
        <v>1</v>
      </c>
      <c r="B3">
        <v>8192</v>
      </c>
      <c r="C3">
        <v>128</v>
      </c>
      <c r="D3">
        <v>1</v>
      </c>
      <c r="E3" s="1">
        <v>2</v>
      </c>
      <c r="F3">
        <v>33.327100000000002</v>
      </c>
      <c r="G3">
        <v>18</v>
      </c>
      <c r="H3">
        <f t="shared" ref="H3:H15" si="0">F3/G3</f>
        <v>1.8515055555555557</v>
      </c>
    </row>
    <row r="4" spans="1:8" x14ac:dyDescent="0.25">
      <c r="A4">
        <v>1</v>
      </c>
      <c r="B4">
        <v>8192</v>
      </c>
      <c r="C4">
        <v>128</v>
      </c>
      <c r="D4">
        <v>1</v>
      </c>
      <c r="E4" s="1">
        <v>4</v>
      </c>
      <c r="F4">
        <v>32.871200000000002</v>
      </c>
      <c r="G4">
        <v>19</v>
      </c>
      <c r="H4">
        <f t="shared" si="0"/>
        <v>1.730063157894737</v>
      </c>
    </row>
    <row r="5" spans="1:8" x14ac:dyDescent="0.25">
      <c r="A5">
        <v>1</v>
      </c>
      <c r="B5">
        <v>8192</v>
      </c>
      <c r="C5">
        <v>128</v>
      </c>
      <c r="D5">
        <v>1</v>
      </c>
      <c r="E5" s="1">
        <v>8</v>
      </c>
      <c r="F5">
        <v>38.471299999999999</v>
      </c>
      <c r="G5">
        <v>22</v>
      </c>
      <c r="H5">
        <f t="shared" si="0"/>
        <v>1.7486954545454545</v>
      </c>
    </row>
    <row r="6" spans="1:8" x14ac:dyDescent="0.25">
      <c r="A6">
        <v>1</v>
      </c>
      <c r="B6">
        <v>8192</v>
      </c>
      <c r="C6">
        <v>128</v>
      </c>
      <c r="D6">
        <v>1</v>
      </c>
      <c r="E6" s="1">
        <v>12</v>
      </c>
      <c r="F6">
        <v>46.707299999999996</v>
      </c>
      <c r="G6">
        <v>27</v>
      </c>
      <c r="H6">
        <f t="shared" si="0"/>
        <v>1.7298999999999998</v>
      </c>
    </row>
    <row r="7" spans="1:8" x14ac:dyDescent="0.25">
      <c r="A7">
        <v>1</v>
      </c>
      <c r="B7">
        <v>8192</v>
      </c>
      <c r="C7">
        <v>128</v>
      </c>
      <c r="D7">
        <v>1</v>
      </c>
      <c r="E7" s="1">
        <v>16</v>
      </c>
      <c r="F7">
        <v>55.283900000000003</v>
      </c>
      <c r="G7">
        <v>32</v>
      </c>
      <c r="H7">
        <f t="shared" si="0"/>
        <v>1.7276218750000001</v>
      </c>
    </row>
    <row r="8" spans="1:8" x14ac:dyDescent="0.25">
      <c r="A8">
        <v>1</v>
      </c>
      <c r="B8">
        <v>8192</v>
      </c>
      <c r="C8">
        <v>128</v>
      </c>
      <c r="D8">
        <v>1</v>
      </c>
      <c r="E8" s="1">
        <v>24</v>
      </c>
      <c r="F8">
        <v>70.323499999999996</v>
      </c>
      <c r="G8">
        <v>42</v>
      </c>
      <c r="H8">
        <f t="shared" si="0"/>
        <v>1.6743690476190476</v>
      </c>
    </row>
    <row r="9" spans="1:8" x14ac:dyDescent="0.25">
      <c r="A9">
        <v>1</v>
      </c>
      <c r="B9">
        <v>8192</v>
      </c>
      <c r="C9">
        <v>128</v>
      </c>
      <c r="D9">
        <v>1</v>
      </c>
      <c r="E9" s="1">
        <v>32</v>
      </c>
      <c r="F9">
        <v>85.891499999999994</v>
      </c>
      <c r="G9">
        <v>51</v>
      </c>
      <c r="H9">
        <f t="shared" si="0"/>
        <v>1.6841470588235292</v>
      </c>
    </row>
    <row r="10" spans="1:8" x14ac:dyDescent="0.25">
      <c r="A10">
        <v>1</v>
      </c>
      <c r="B10">
        <v>8192</v>
      </c>
      <c r="C10">
        <v>128</v>
      </c>
      <c r="D10">
        <v>1</v>
      </c>
      <c r="E10" s="1">
        <v>48</v>
      </c>
      <c r="F10">
        <v>117.2</v>
      </c>
      <c r="G10">
        <v>70</v>
      </c>
      <c r="H10">
        <f t="shared" si="0"/>
        <v>1.6742857142857144</v>
      </c>
    </row>
    <row r="11" spans="1:8" x14ac:dyDescent="0.25">
      <c r="A11">
        <v>1</v>
      </c>
      <c r="B11">
        <v>8192</v>
      </c>
      <c r="C11">
        <v>128</v>
      </c>
      <c r="D11">
        <v>1</v>
      </c>
      <c r="E11" s="1">
        <v>64</v>
      </c>
      <c r="F11">
        <v>151.6</v>
      </c>
      <c r="G11">
        <v>74</v>
      </c>
      <c r="H11">
        <f t="shared" si="0"/>
        <v>2.0486486486486486</v>
      </c>
    </row>
    <row r="12" spans="1:8" x14ac:dyDescent="0.25">
      <c r="A12">
        <v>1</v>
      </c>
      <c r="B12">
        <v>8192</v>
      </c>
      <c r="C12">
        <v>128</v>
      </c>
      <c r="D12">
        <v>1</v>
      </c>
      <c r="E12" s="1">
        <v>96</v>
      </c>
      <c r="F12">
        <v>214.5</v>
      </c>
      <c r="G12">
        <v>136</v>
      </c>
      <c r="H12">
        <f t="shared" si="0"/>
        <v>1.5772058823529411</v>
      </c>
    </row>
    <row r="13" spans="1:8" x14ac:dyDescent="0.25">
      <c r="A13">
        <v>1</v>
      </c>
      <c r="B13">
        <v>8192</v>
      </c>
      <c r="C13">
        <v>128</v>
      </c>
      <c r="D13">
        <v>1</v>
      </c>
      <c r="E13" s="1">
        <v>128</v>
      </c>
      <c r="F13">
        <v>282.3</v>
      </c>
      <c r="G13">
        <v>140</v>
      </c>
      <c r="H13">
        <f t="shared" si="0"/>
        <v>2.0164285714285715</v>
      </c>
    </row>
    <row r="14" spans="1:8" x14ac:dyDescent="0.25">
      <c r="A14">
        <v>1</v>
      </c>
      <c r="B14">
        <v>8192</v>
      </c>
      <c r="C14">
        <v>128</v>
      </c>
      <c r="D14">
        <v>1</v>
      </c>
      <c r="E14" s="1">
        <v>256</v>
      </c>
      <c r="F14">
        <v>565.4</v>
      </c>
      <c r="G14">
        <v>283</v>
      </c>
      <c r="H14">
        <f t="shared" si="0"/>
        <v>1.9978798586572437</v>
      </c>
    </row>
    <row r="15" spans="1:8" x14ac:dyDescent="0.25">
      <c r="A15">
        <v>1</v>
      </c>
      <c r="B15">
        <v>8192</v>
      </c>
      <c r="C15">
        <v>128</v>
      </c>
      <c r="D15">
        <v>1</v>
      </c>
      <c r="E15" s="1">
        <v>512</v>
      </c>
      <c r="F15">
        <v>1108.9000000000001</v>
      </c>
      <c r="G15">
        <v>544</v>
      </c>
      <c r="H15">
        <f t="shared" si="0"/>
        <v>2.038419117647059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C777-A0B7-41DB-BD72-95640B016842}">
  <dimension ref="A1:L60"/>
  <sheetViews>
    <sheetView tabSelected="1" zoomScaleNormal="100" workbookViewId="0">
      <selection activeCell="K54" sqref="K54"/>
    </sheetView>
  </sheetViews>
  <sheetFormatPr defaultRowHeight="15" x14ac:dyDescent="0.25"/>
  <cols>
    <col min="6" max="6" width="18.7109375" customWidth="1"/>
    <col min="7" max="7" width="19.28515625" customWidth="1"/>
    <col min="8" max="8" width="21.28515625" customWidth="1"/>
    <col min="9" max="9" width="15.28515625" customWidth="1"/>
    <col min="10" max="10" width="9.140625" customWidth="1"/>
    <col min="12" max="12" width="13.85546875" customWidth="1"/>
  </cols>
  <sheetData>
    <row r="1" spans="1:12" x14ac:dyDescent="0.25">
      <c r="A1" t="s">
        <v>26</v>
      </c>
      <c r="B1" t="s">
        <v>27</v>
      </c>
      <c r="C1" t="s">
        <v>28</v>
      </c>
      <c r="D1" t="s">
        <v>29</v>
      </c>
      <c r="E1" s="1" t="s">
        <v>30</v>
      </c>
      <c r="F1" t="s">
        <v>33</v>
      </c>
      <c r="G1" t="s">
        <v>32</v>
      </c>
      <c r="H1" t="s">
        <v>36</v>
      </c>
      <c r="I1" t="s">
        <v>37</v>
      </c>
    </row>
    <row r="2" spans="1:12" x14ac:dyDescent="0.25">
      <c r="A2">
        <v>1</v>
      </c>
      <c r="B2">
        <v>8192</v>
      </c>
      <c r="C2">
        <v>128</v>
      </c>
      <c r="D2">
        <v>1</v>
      </c>
      <c r="E2" s="2">
        <v>1</v>
      </c>
      <c r="F2">
        <v>29.571100000000001</v>
      </c>
      <c r="G2">
        <v>16</v>
      </c>
      <c r="H2">
        <f>2*E2*A2*B2*C2*(2*512+64)/F2/1000000</f>
        <v>77.159841061035948</v>
      </c>
      <c r="I2">
        <f>2*E2*A2*B2*C2*(2*512+64)/G2/1000000</f>
        <v>142.606336</v>
      </c>
      <c r="L2" t="s">
        <v>35</v>
      </c>
    </row>
    <row r="3" spans="1:12" x14ac:dyDescent="0.25">
      <c r="A3">
        <v>1</v>
      </c>
      <c r="B3">
        <v>8192</v>
      </c>
      <c r="C3">
        <v>128</v>
      </c>
      <c r="D3">
        <v>1</v>
      </c>
      <c r="E3" s="2">
        <v>2</v>
      </c>
      <c r="F3">
        <v>33.327100000000002</v>
      </c>
      <c r="G3">
        <v>18</v>
      </c>
      <c r="H3">
        <f t="shared" ref="H3:H59" si="0">2*E3*A3*B3*C3*(2*512+64)/F3/1000000</f>
        <v>136.92768803766305</v>
      </c>
      <c r="I3">
        <f t="shared" ref="I3:I59" si="1">2*E3*A3*B3*C3*(2*512+64)/G3/1000000</f>
        <v>253.5223751111111</v>
      </c>
    </row>
    <row r="4" spans="1:12" x14ac:dyDescent="0.25">
      <c r="A4">
        <v>1</v>
      </c>
      <c r="B4">
        <v>8192</v>
      </c>
      <c r="C4">
        <v>128</v>
      </c>
      <c r="D4">
        <v>1</v>
      </c>
      <c r="E4" s="2">
        <v>4</v>
      </c>
      <c r="F4">
        <v>32.871200000000002</v>
      </c>
      <c r="G4">
        <v>19</v>
      </c>
      <c r="H4">
        <f t="shared" si="0"/>
        <v>277.65355399255276</v>
      </c>
      <c r="I4">
        <f t="shared" si="1"/>
        <v>480.35818442105261</v>
      </c>
    </row>
    <row r="5" spans="1:12" x14ac:dyDescent="0.25">
      <c r="A5">
        <v>1</v>
      </c>
      <c r="B5">
        <v>8192</v>
      </c>
      <c r="C5">
        <v>128</v>
      </c>
      <c r="D5">
        <v>1</v>
      </c>
      <c r="E5" s="2">
        <v>8</v>
      </c>
      <c r="F5">
        <v>38.471299999999999</v>
      </c>
      <c r="G5">
        <v>22</v>
      </c>
      <c r="H5">
        <f t="shared" si="0"/>
        <v>474.47346484262295</v>
      </c>
      <c r="I5">
        <f t="shared" si="1"/>
        <v>829.70959127272727</v>
      </c>
    </row>
    <row r="6" spans="1:12" x14ac:dyDescent="0.25">
      <c r="A6">
        <v>1</v>
      </c>
      <c r="B6">
        <v>8192</v>
      </c>
      <c r="C6">
        <v>128</v>
      </c>
      <c r="D6">
        <v>1</v>
      </c>
      <c r="E6">
        <v>12</v>
      </c>
      <c r="F6">
        <v>46.707299999999996</v>
      </c>
      <c r="G6">
        <v>27</v>
      </c>
      <c r="H6">
        <f t="shared" si="0"/>
        <v>586.21278712321214</v>
      </c>
      <c r="I6">
        <f t="shared" si="1"/>
        <v>1014.0895004444444</v>
      </c>
    </row>
    <row r="7" spans="1:12" x14ac:dyDescent="0.25">
      <c r="A7">
        <v>1</v>
      </c>
      <c r="B7">
        <v>8192</v>
      </c>
      <c r="C7">
        <v>128</v>
      </c>
      <c r="D7">
        <v>1</v>
      </c>
      <c r="E7">
        <v>16</v>
      </c>
      <c r="F7">
        <v>55.283900000000003</v>
      </c>
      <c r="G7">
        <v>32</v>
      </c>
      <c r="H7">
        <f t="shared" si="0"/>
        <v>660.35901982313112</v>
      </c>
      <c r="I7">
        <f t="shared" si="1"/>
        <v>1140.850688</v>
      </c>
    </row>
    <row r="8" spans="1:12" x14ac:dyDescent="0.25">
      <c r="A8">
        <v>1</v>
      </c>
      <c r="B8">
        <v>8192</v>
      </c>
      <c r="C8">
        <v>128</v>
      </c>
      <c r="D8">
        <v>1</v>
      </c>
      <c r="E8">
        <v>24</v>
      </c>
      <c r="F8">
        <v>70.323499999999996</v>
      </c>
      <c r="G8">
        <v>42</v>
      </c>
      <c r="H8">
        <f t="shared" si="0"/>
        <v>778.69891322246485</v>
      </c>
      <c r="I8">
        <f t="shared" si="1"/>
        <v>1303.8293577142856</v>
      </c>
    </row>
    <row r="9" spans="1:12" x14ac:dyDescent="0.25">
      <c r="A9">
        <v>1</v>
      </c>
      <c r="B9">
        <v>8192</v>
      </c>
      <c r="C9">
        <v>128</v>
      </c>
      <c r="D9">
        <v>1</v>
      </c>
      <c r="E9" s="2">
        <v>32</v>
      </c>
      <c r="F9">
        <v>85.891499999999994</v>
      </c>
      <c r="G9">
        <v>51</v>
      </c>
      <c r="H9">
        <f t="shared" si="0"/>
        <v>850.07764484262134</v>
      </c>
      <c r="I9">
        <f t="shared" si="1"/>
        <v>1431.6557653333332</v>
      </c>
    </row>
    <row r="10" spans="1:12" x14ac:dyDescent="0.25">
      <c r="A10">
        <v>1</v>
      </c>
      <c r="B10">
        <v>8192</v>
      </c>
      <c r="C10">
        <v>128</v>
      </c>
      <c r="D10">
        <v>1</v>
      </c>
      <c r="E10" s="2">
        <v>48</v>
      </c>
      <c r="F10">
        <v>117.2</v>
      </c>
      <c r="G10">
        <v>70</v>
      </c>
      <c r="H10">
        <f t="shared" si="0"/>
        <v>934.48520518771329</v>
      </c>
      <c r="I10">
        <f t="shared" si="1"/>
        <v>1564.5952292571428</v>
      </c>
    </row>
    <row r="11" spans="1:12" x14ac:dyDescent="0.25">
      <c r="A11">
        <v>1</v>
      </c>
      <c r="B11">
        <v>8192</v>
      </c>
      <c r="C11">
        <v>128</v>
      </c>
      <c r="D11">
        <v>1</v>
      </c>
      <c r="E11" s="2">
        <v>64</v>
      </c>
      <c r="F11">
        <v>151.6</v>
      </c>
      <c r="G11">
        <v>74</v>
      </c>
      <c r="H11">
        <f t="shared" si="0"/>
        <v>963.25124052770445</v>
      </c>
      <c r="I11">
        <f t="shared" si="1"/>
        <v>1973.3633522162163</v>
      </c>
    </row>
    <row r="12" spans="1:12" x14ac:dyDescent="0.25">
      <c r="A12">
        <v>1</v>
      </c>
      <c r="B12">
        <v>8192</v>
      </c>
      <c r="C12">
        <v>128</v>
      </c>
      <c r="D12">
        <v>1</v>
      </c>
      <c r="E12" s="2">
        <v>96</v>
      </c>
      <c r="F12">
        <v>214.5</v>
      </c>
      <c r="G12">
        <v>136</v>
      </c>
      <c r="H12">
        <f t="shared" si="0"/>
        <v>1021.1810354125874</v>
      </c>
      <c r="I12">
        <f t="shared" si="1"/>
        <v>1610.612736</v>
      </c>
    </row>
    <row r="13" spans="1:12" x14ac:dyDescent="0.25">
      <c r="A13">
        <v>1</v>
      </c>
      <c r="B13">
        <v>8192</v>
      </c>
      <c r="C13">
        <v>128</v>
      </c>
      <c r="D13">
        <v>1</v>
      </c>
      <c r="E13" s="2">
        <v>128</v>
      </c>
      <c r="F13">
        <v>282.3</v>
      </c>
      <c r="G13">
        <v>140</v>
      </c>
      <c r="H13">
        <f t="shared" si="0"/>
        <v>1034.5652714417286</v>
      </c>
      <c r="I13">
        <f t="shared" si="1"/>
        <v>2086.1269723428572</v>
      </c>
    </row>
    <row r="14" spans="1:12" s="15" customFormat="1" x14ac:dyDescent="0.25">
      <c r="A14" s="15">
        <v>1</v>
      </c>
      <c r="B14" s="15">
        <v>8192</v>
      </c>
      <c r="C14" s="15">
        <v>128</v>
      </c>
      <c r="D14" s="15">
        <v>1</v>
      </c>
      <c r="E14" s="16">
        <v>192</v>
      </c>
      <c r="F14" s="15">
        <v>451</v>
      </c>
      <c r="G14" s="15">
        <v>206</v>
      </c>
      <c r="H14">
        <f t="shared" si="0"/>
        <v>971.36732636807096</v>
      </c>
      <c r="I14">
        <f t="shared" si="1"/>
        <v>2126.6342921941746</v>
      </c>
    </row>
    <row r="15" spans="1:12" x14ac:dyDescent="0.25">
      <c r="A15">
        <v>1</v>
      </c>
      <c r="B15">
        <v>8192</v>
      </c>
      <c r="C15">
        <v>128</v>
      </c>
      <c r="D15">
        <v>1</v>
      </c>
      <c r="E15" s="2">
        <v>256</v>
      </c>
      <c r="F15">
        <v>565.4</v>
      </c>
      <c r="G15">
        <v>283</v>
      </c>
      <c r="H15">
        <f t="shared" si="0"/>
        <v>1033.1014366041741</v>
      </c>
      <c r="I15">
        <f t="shared" si="1"/>
        <v>2064.0125521413424</v>
      </c>
    </row>
    <row r="16" spans="1:12" x14ac:dyDescent="0.25">
      <c r="A16">
        <v>1</v>
      </c>
      <c r="B16">
        <v>8192</v>
      </c>
      <c r="C16">
        <v>128</v>
      </c>
      <c r="D16">
        <v>1</v>
      </c>
      <c r="E16" s="2">
        <v>512</v>
      </c>
      <c r="F16">
        <v>1108.9000000000001</v>
      </c>
      <c r="G16">
        <v>544</v>
      </c>
      <c r="H16">
        <f t="shared" si="0"/>
        <v>1053.5044679520245</v>
      </c>
      <c r="I16">
        <f t="shared" si="1"/>
        <v>2147.4836479999999</v>
      </c>
    </row>
    <row r="17" spans="1:12" x14ac:dyDescent="0.25">
      <c r="A17">
        <v>2</v>
      </c>
      <c r="B17">
        <v>8192</v>
      </c>
      <c r="C17">
        <v>128</v>
      </c>
      <c r="D17">
        <v>1</v>
      </c>
      <c r="E17">
        <v>1</v>
      </c>
      <c r="F17">
        <v>42.479399999999998</v>
      </c>
      <c r="G17">
        <v>22</v>
      </c>
      <c r="H17">
        <f t="shared" si="0"/>
        <v>107.42625253652359</v>
      </c>
      <c r="I17">
        <f t="shared" si="1"/>
        <v>207.42739781818182</v>
      </c>
    </row>
    <row r="18" spans="1:12" x14ac:dyDescent="0.25">
      <c r="A18">
        <v>2</v>
      </c>
      <c r="B18">
        <v>8192</v>
      </c>
      <c r="C18">
        <v>128</v>
      </c>
      <c r="D18">
        <v>1</v>
      </c>
      <c r="E18">
        <v>2</v>
      </c>
      <c r="F18">
        <v>47.419499999999999</v>
      </c>
      <c r="G18">
        <v>20</v>
      </c>
      <c r="H18">
        <f t="shared" si="0"/>
        <v>192.46945885131646</v>
      </c>
      <c r="I18">
        <f t="shared" si="1"/>
        <v>456.34027520000001</v>
      </c>
    </row>
    <row r="19" spans="1:12" x14ac:dyDescent="0.25">
      <c r="A19">
        <v>2</v>
      </c>
      <c r="B19">
        <v>8192</v>
      </c>
      <c r="C19">
        <v>128</v>
      </c>
      <c r="D19">
        <v>1</v>
      </c>
      <c r="E19">
        <v>4</v>
      </c>
      <c r="F19">
        <v>47.835000000000001</v>
      </c>
      <c r="G19">
        <v>23</v>
      </c>
      <c r="H19">
        <f t="shared" si="0"/>
        <v>381.59529649837981</v>
      </c>
      <c r="I19">
        <f t="shared" si="1"/>
        <v>793.6352612173913</v>
      </c>
    </row>
    <row r="20" spans="1:12" x14ac:dyDescent="0.25">
      <c r="A20">
        <v>2</v>
      </c>
      <c r="B20">
        <v>8192</v>
      </c>
      <c r="C20">
        <v>128</v>
      </c>
      <c r="D20">
        <v>1</v>
      </c>
      <c r="E20">
        <v>8</v>
      </c>
      <c r="F20">
        <v>55.559100000000001</v>
      </c>
      <c r="G20">
        <v>29</v>
      </c>
      <c r="H20">
        <f t="shared" si="0"/>
        <v>657.08807406887433</v>
      </c>
      <c r="I20">
        <f t="shared" si="1"/>
        <v>1258.869724689655</v>
      </c>
    </row>
    <row r="21" spans="1:12" x14ac:dyDescent="0.25">
      <c r="A21">
        <v>2</v>
      </c>
      <c r="B21">
        <v>8192</v>
      </c>
      <c r="C21">
        <v>128</v>
      </c>
      <c r="D21">
        <v>1</v>
      </c>
      <c r="E21">
        <v>12</v>
      </c>
      <c r="F21">
        <v>69.4114</v>
      </c>
      <c r="G21">
        <v>38</v>
      </c>
      <c r="H21">
        <f t="shared" si="0"/>
        <v>788.93140066329158</v>
      </c>
      <c r="I21">
        <f t="shared" si="1"/>
        <v>1441.0745532631579</v>
      </c>
    </row>
    <row r="22" spans="1:12" x14ac:dyDescent="0.25">
      <c r="A22">
        <v>2</v>
      </c>
      <c r="B22">
        <v>8192</v>
      </c>
      <c r="C22">
        <v>128</v>
      </c>
      <c r="D22">
        <v>1</v>
      </c>
      <c r="E22">
        <v>16</v>
      </c>
      <c r="F22">
        <v>87.939599999999999</v>
      </c>
      <c r="G22">
        <v>46</v>
      </c>
      <c r="H22">
        <f t="shared" si="0"/>
        <v>830.27946490545787</v>
      </c>
      <c r="I22">
        <f t="shared" si="1"/>
        <v>1587.2705224347826</v>
      </c>
    </row>
    <row r="23" spans="1:12" x14ac:dyDescent="0.25">
      <c r="A23">
        <v>2</v>
      </c>
      <c r="B23">
        <v>8192</v>
      </c>
      <c r="C23">
        <v>128</v>
      </c>
      <c r="D23">
        <v>1</v>
      </c>
      <c r="E23">
        <v>24</v>
      </c>
      <c r="F23">
        <v>119.2</v>
      </c>
      <c r="G23">
        <v>65</v>
      </c>
      <c r="H23">
        <f t="shared" si="0"/>
        <v>918.80592322147641</v>
      </c>
      <c r="I23">
        <f t="shared" si="1"/>
        <v>1684.9487084307691</v>
      </c>
    </row>
    <row r="24" spans="1:12" x14ac:dyDescent="0.25">
      <c r="A24">
        <v>2</v>
      </c>
      <c r="B24">
        <v>8192</v>
      </c>
      <c r="C24">
        <v>128</v>
      </c>
      <c r="D24">
        <v>1</v>
      </c>
      <c r="E24">
        <v>32</v>
      </c>
      <c r="F24">
        <v>156.30000000000001</v>
      </c>
      <c r="G24">
        <v>67</v>
      </c>
      <c r="H24">
        <f t="shared" si="0"/>
        <v>934.28591211772232</v>
      </c>
      <c r="I24">
        <f t="shared" si="1"/>
        <v>2179.5356427462689</v>
      </c>
    </row>
    <row r="25" spans="1:12" x14ac:dyDescent="0.25">
      <c r="A25">
        <v>2</v>
      </c>
      <c r="B25">
        <v>8192</v>
      </c>
      <c r="C25">
        <v>128</v>
      </c>
      <c r="D25">
        <v>1</v>
      </c>
      <c r="E25">
        <v>48</v>
      </c>
      <c r="F25">
        <v>218.6</v>
      </c>
      <c r="G25">
        <v>126</v>
      </c>
      <c r="H25">
        <f t="shared" si="0"/>
        <v>1002.028051674291</v>
      </c>
      <c r="I25">
        <f t="shared" si="1"/>
        <v>1738.4391436190476</v>
      </c>
    </row>
    <row r="26" spans="1:12" x14ac:dyDescent="0.25">
      <c r="A26">
        <v>2</v>
      </c>
      <c r="B26">
        <v>8192</v>
      </c>
      <c r="C26">
        <v>128</v>
      </c>
      <c r="D26">
        <v>1</v>
      </c>
      <c r="E26">
        <v>64</v>
      </c>
      <c r="F26">
        <v>283.7</v>
      </c>
      <c r="G26">
        <v>128</v>
      </c>
      <c r="H26">
        <f t="shared" si="0"/>
        <v>1029.4599088050759</v>
      </c>
      <c r="I26">
        <f t="shared" si="1"/>
        <v>2281.701376</v>
      </c>
    </row>
    <row r="27" spans="1:12" x14ac:dyDescent="0.25">
      <c r="A27">
        <v>2</v>
      </c>
      <c r="B27">
        <v>8192</v>
      </c>
      <c r="C27">
        <v>128</v>
      </c>
      <c r="D27">
        <v>1</v>
      </c>
      <c r="E27">
        <v>96</v>
      </c>
      <c r="F27">
        <v>439.9</v>
      </c>
      <c r="G27">
        <v>191</v>
      </c>
      <c r="H27">
        <f t="shared" si="0"/>
        <v>995.87784540122755</v>
      </c>
      <c r="I27">
        <f t="shared" si="1"/>
        <v>2293.6474565026178</v>
      </c>
    </row>
    <row r="28" spans="1:12" x14ac:dyDescent="0.25">
      <c r="A28">
        <v>2</v>
      </c>
      <c r="B28">
        <v>8192</v>
      </c>
      <c r="C28">
        <v>128</v>
      </c>
      <c r="D28">
        <v>1</v>
      </c>
      <c r="E28">
        <v>128</v>
      </c>
      <c r="F28">
        <v>554</v>
      </c>
      <c r="G28">
        <v>257</v>
      </c>
      <c r="H28">
        <f t="shared" si="0"/>
        <v>1054.3602026281587</v>
      </c>
      <c r="I28">
        <f t="shared" si="1"/>
        <v>2272.823160529183</v>
      </c>
    </row>
    <row r="29" spans="1:12" s="3" customFormat="1" x14ac:dyDescent="0.25">
      <c r="A29" s="3">
        <v>2</v>
      </c>
      <c r="B29" s="3">
        <v>8192</v>
      </c>
      <c r="C29" s="3">
        <v>128</v>
      </c>
      <c r="D29" s="3">
        <v>1</v>
      </c>
      <c r="E29" s="3">
        <v>192</v>
      </c>
      <c r="F29" s="10">
        <v>893</v>
      </c>
      <c r="G29" s="10">
        <v>395</v>
      </c>
      <c r="H29">
        <f t="shared" si="0"/>
        <v>981.15714264725648</v>
      </c>
      <c r="I29">
        <f t="shared" si="1"/>
        <v>2218.1603250227845</v>
      </c>
    </row>
    <row r="30" spans="1:12" x14ac:dyDescent="0.25">
      <c r="A30">
        <v>2</v>
      </c>
      <c r="B30">
        <v>8192</v>
      </c>
      <c r="C30">
        <v>128</v>
      </c>
      <c r="D30">
        <v>1</v>
      </c>
      <c r="E30">
        <v>256</v>
      </c>
      <c r="F30">
        <v>1129.3</v>
      </c>
      <c r="G30">
        <v>472</v>
      </c>
      <c r="H30">
        <f t="shared" si="0"/>
        <v>1034.4736602426283</v>
      </c>
      <c r="I30">
        <f t="shared" si="1"/>
        <v>2475.0658993898305</v>
      </c>
    </row>
    <row r="31" spans="1:12" x14ac:dyDescent="0.25">
      <c r="A31">
        <v>2</v>
      </c>
      <c r="B31">
        <v>8192</v>
      </c>
      <c r="C31">
        <v>128</v>
      </c>
      <c r="D31">
        <v>1</v>
      </c>
      <c r="E31">
        <v>512</v>
      </c>
      <c r="F31">
        <v>2156.5</v>
      </c>
      <c r="G31">
        <v>980</v>
      </c>
      <c r="H31">
        <f t="shared" si="0"/>
        <v>1083.4510591347091</v>
      </c>
      <c r="I31">
        <f t="shared" si="1"/>
        <v>2384.1451112489794</v>
      </c>
    </row>
    <row r="32" spans="1:12" x14ac:dyDescent="0.25">
      <c r="A32">
        <v>4</v>
      </c>
      <c r="B32">
        <v>8192</v>
      </c>
      <c r="C32">
        <v>128</v>
      </c>
      <c r="D32">
        <v>1</v>
      </c>
      <c r="E32">
        <v>1</v>
      </c>
      <c r="F32">
        <v>21.171100000000003</v>
      </c>
      <c r="G32">
        <v>20</v>
      </c>
      <c r="H32">
        <f t="shared" si="0"/>
        <v>431.09736877158008</v>
      </c>
      <c r="I32">
        <f t="shared" si="1"/>
        <v>456.34027520000001</v>
      </c>
      <c r="L32" t="s">
        <v>34</v>
      </c>
    </row>
    <row r="33" spans="1:9" x14ac:dyDescent="0.25">
      <c r="A33">
        <v>4</v>
      </c>
      <c r="B33">
        <v>8192</v>
      </c>
      <c r="C33">
        <v>128</v>
      </c>
      <c r="D33">
        <v>1</v>
      </c>
      <c r="E33">
        <v>2</v>
      </c>
      <c r="F33">
        <v>25.055099999999999</v>
      </c>
      <c r="G33">
        <v>22</v>
      </c>
      <c r="H33">
        <f t="shared" si="0"/>
        <v>728.53874093497927</v>
      </c>
      <c r="I33">
        <f t="shared" si="1"/>
        <v>829.70959127272727</v>
      </c>
    </row>
    <row r="34" spans="1:9" x14ac:dyDescent="0.25">
      <c r="A34">
        <v>4</v>
      </c>
      <c r="B34">
        <v>8192</v>
      </c>
      <c r="C34">
        <v>128</v>
      </c>
      <c r="D34">
        <v>1</v>
      </c>
      <c r="E34">
        <v>4</v>
      </c>
      <c r="F34">
        <v>32.267399999999995</v>
      </c>
      <c r="G34">
        <v>28</v>
      </c>
      <c r="H34">
        <f t="shared" si="0"/>
        <v>1131.3964563615291</v>
      </c>
      <c r="I34">
        <f t="shared" si="1"/>
        <v>1303.8293577142856</v>
      </c>
    </row>
    <row r="35" spans="1:9" s="5" customFormat="1" x14ac:dyDescent="0.25">
      <c r="A35" s="5">
        <v>4</v>
      </c>
      <c r="B35" s="5">
        <v>8192</v>
      </c>
      <c r="C35" s="5">
        <v>128</v>
      </c>
      <c r="D35" s="5">
        <v>1</v>
      </c>
      <c r="E35" s="5">
        <v>8</v>
      </c>
      <c r="F35" s="5">
        <v>48.896000000000001</v>
      </c>
      <c r="G35" s="8">
        <v>43</v>
      </c>
      <c r="H35">
        <f t="shared" si="0"/>
        <v>1493.2600628272253</v>
      </c>
      <c r="I35">
        <f t="shared" si="1"/>
        <v>1698.0103263255812</v>
      </c>
    </row>
    <row r="36" spans="1:9" x14ac:dyDescent="0.25">
      <c r="A36">
        <v>4</v>
      </c>
      <c r="B36">
        <v>8192</v>
      </c>
      <c r="C36">
        <v>128</v>
      </c>
      <c r="D36">
        <v>1</v>
      </c>
      <c r="E36">
        <v>12</v>
      </c>
      <c r="F36">
        <v>70.259900000000002</v>
      </c>
      <c r="G36">
        <v>64</v>
      </c>
      <c r="H36">
        <f t="shared" si="0"/>
        <v>1558.8075993276391</v>
      </c>
      <c r="I36">
        <f t="shared" si="1"/>
        <v>1711.276032</v>
      </c>
    </row>
    <row r="37" spans="1:9" x14ac:dyDescent="0.25">
      <c r="A37">
        <v>4</v>
      </c>
      <c r="B37">
        <v>8192</v>
      </c>
      <c r="C37">
        <v>128</v>
      </c>
      <c r="D37">
        <v>1</v>
      </c>
      <c r="E37">
        <v>16</v>
      </c>
      <c r="F37">
        <v>81.816000000000003</v>
      </c>
      <c r="G37">
        <v>64</v>
      </c>
      <c r="H37">
        <f t="shared" si="0"/>
        <v>1784.8451166519994</v>
      </c>
      <c r="I37">
        <f t="shared" si="1"/>
        <v>2281.701376</v>
      </c>
    </row>
    <row r="38" spans="1:9" x14ac:dyDescent="0.25">
      <c r="A38">
        <v>4</v>
      </c>
      <c r="B38">
        <v>8192</v>
      </c>
      <c r="C38">
        <v>128</v>
      </c>
      <c r="D38">
        <v>1</v>
      </c>
      <c r="E38">
        <v>24</v>
      </c>
      <c r="F38">
        <v>129.4</v>
      </c>
      <c r="G38">
        <v>122</v>
      </c>
      <c r="H38">
        <f t="shared" si="0"/>
        <v>1692.7614536012363</v>
      </c>
      <c r="I38">
        <f t="shared" si="1"/>
        <v>1795.437148327869</v>
      </c>
    </row>
    <row r="39" spans="1:9" s="4" customFormat="1" x14ac:dyDescent="0.25">
      <c r="A39" s="4">
        <v>4</v>
      </c>
      <c r="B39" s="4">
        <v>8192</v>
      </c>
      <c r="C39" s="4">
        <v>128</v>
      </c>
      <c r="D39" s="4">
        <v>1</v>
      </c>
      <c r="E39" s="4">
        <v>32</v>
      </c>
      <c r="F39" s="11">
        <v>205</v>
      </c>
      <c r="G39" s="12">
        <v>125</v>
      </c>
      <c r="H39">
        <f t="shared" si="0"/>
        <v>1424.6720786731707</v>
      </c>
      <c r="I39">
        <f t="shared" si="1"/>
        <v>2336.462209024</v>
      </c>
    </row>
    <row r="40" spans="1:9" x14ac:dyDescent="0.25">
      <c r="A40">
        <v>4</v>
      </c>
      <c r="B40">
        <v>8192</v>
      </c>
      <c r="C40">
        <v>128</v>
      </c>
      <c r="D40">
        <v>1</v>
      </c>
      <c r="E40">
        <v>48</v>
      </c>
      <c r="F40">
        <v>313.60000000000002</v>
      </c>
      <c r="G40">
        <v>185</v>
      </c>
      <c r="H40">
        <f t="shared" si="0"/>
        <v>1396.9600261224489</v>
      </c>
      <c r="I40">
        <f t="shared" si="1"/>
        <v>2368.0360226594594</v>
      </c>
    </row>
    <row r="41" spans="1:9" s="9" customFormat="1" x14ac:dyDescent="0.25">
      <c r="A41" s="9">
        <v>4</v>
      </c>
      <c r="B41" s="9">
        <v>8192</v>
      </c>
      <c r="C41" s="9">
        <v>128</v>
      </c>
      <c r="D41" s="9">
        <v>1</v>
      </c>
      <c r="E41" s="9">
        <v>64</v>
      </c>
      <c r="F41" s="13">
        <v>402.6</v>
      </c>
      <c r="G41" s="14">
        <v>249</v>
      </c>
      <c r="H41">
        <f t="shared" si="0"/>
        <v>1450.858301679086</v>
      </c>
      <c r="I41">
        <f t="shared" si="1"/>
        <v>2345.8455913895582</v>
      </c>
    </row>
    <row r="42" spans="1:9" x14ac:dyDescent="0.25">
      <c r="A42">
        <v>4</v>
      </c>
      <c r="B42">
        <v>8192</v>
      </c>
      <c r="C42">
        <v>128</v>
      </c>
      <c r="D42">
        <v>1</v>
      </c>
      <c r="E42">
        <v>96</v>
      </c>
      <c r="F42">
        <v>609.5</v>
      </c>
      <c r="G42">
        <v>380</v>
      </c>
      <c r="H42">
        <f t="shared" si="0"/>
        <v>1437.5280203182936</v>
      </c>
      <c r="I42">
        <f t="shared" si="1"/>
        <v>2305.7192852210528</v>
      </c>
    </row>
    <row r="43" spans="1:9" x14ac:dyDescent="0.25">
      <c r="A43">
        <v>4</v>
      </c>
      <c r="B43">
        <v>8192</v>
      </c>
      <c r="C43">
        <v>128</v>
      </c>
      <c r="D43">
        <v>1</v>
      </c>
      <c r="E43">
        <v>128</v>
      </c>
      <c r="F43">
        <v>822.2</v>
      </c>
      <c r="G43">
        <v>457</v>
      </c>
      <c r="H43">
        <f t="shared" si="0"/>
        <v>1420.8600152177087</v>
      </c>
      <c r="I43">
        <f t="shared" si="1"/>
        <v>2556.3043862407003</v>
      </c>
    </row>
    <row r="44" spans="1:9" x14ac:dyDescent="0.25">
      <c r="A44">
        <v>4</v>
      </c>
      <c r="B44">
        <v>8192</v>
      </c>
      <c r="C44">
        <v>128</v>
      </c>
      <c r="D44">
        <v>1</v>
      </c>
      <c r="E44">
        <v>256</v>
      </c>
      <c r="F44">
        <v>1814.1</v>
      </c>
      <c r="G44">
        <v>936</v>
      </c>
      <c r="H44">
        <f t="shared" si="0"/>
        <v>1287.9456529540821</v>
      </c>
      <c r="I44">
        <f t="shared" si="1"/>
        <v>2496.2203087863249</v>
      </c>
    </row>
    <row r="45" spans="1:9" x14ac:dyDescent="0.25">
      <c r="A45">
        <v>4</v>
      </c>
      <c r="B45">
        <v>8192</v>
      </c>
      <c r="C45">
        <v>128</v>
      </c>
      <c r="D45">
        <v>1</v>
      </c>
      <c r="E45">
        <v>512</v>
      </c>
      <c r="F45">
        <v>3665.4</v>
      </c>
      <c r="G45">
        <v>1894</v>
      </c>
      <c r="H45">
        <f t="shared" si="0"/>
        <v>1274.8743433316963</v>
      </c>
      <c r="I45">
        <f t="shared" si="1"/>
        <v>2467.2251415248152</v>
      </c>
    </row>
    <row r="46" spans="1:9" x14ac:dyDescent="0.25">
      <c r="A46">
        <v>4</v>
      </c>
      <c r="B46">
        <v>8192</v>
      </c>
      <c r="C46">
        <v>16</v>
      </c>
      <c r="D46">
        <v>1</v>
      </c>
      <c r="E46">
        <v>1</v>
      </c>
      <c r="F46">
        <v>14.6791</v>
      </c>
      <c r="G46">
        <v>18</v>
      </c>
      <c r="H46">
        <f t="shared" si="0"/>
        <v>77.719389335858466</v>
      </c>
      <c r="I46">
        <f t="shared" si="1"/>
        <v>63.380593777777776</v>
      </c>
    </row>
    <row r="47" spans="1:9" x14ac:dyDescent="0.25">
      <c r="A47">
        <v>4</v>
      </c>
      <c r="B47">
        <v>8192</v>
      </c>
      <c r="C47">
        <v>16</v>
      </c>
      <c r="D47">
        <v>1</v>
      </c>
      <c r="E47">
        <v>2</v>
      </c>
      <c r="F47">
        <v>16.202999999999999</v>
      </c>
      <c r="G47">
        <v>16</v>
      </c>
      <c r="H47">
        <f t="shared" si="0"/>
        <v>140.81968623094491</v>
      </c>
      <c r="I47">
        <f t="shared" si="1"/>
        <v>142.606336</v>
      </c>
    </row>
    <row r="48" spans="1:9" x14ac:dyDescent="0.25">
      <c r="A48">
        <v>4</v>
      </c>
      <c r="B48">
        <v>8192</v>
      </c>
      <c r="C48">
        <v>16</v>
      </c>
      <c r="D48">
        <v>1</v>
      </c>
      <c r="E48">
        <v>4</v>
      </c>
      <c r="F48">
        <v>17.639199999999999</v>
      </c>
      <c r="G48">
        <v>23</v>
      </c>
      <c r="H48">
        <f t="shared" si="0"/>
        <v>258.70803392444105</v>
      </c>
      <c r="I48">
        <f t="shared" si="1"/>
        <v>198.40881530434783</v>
      </c>
    </row>
    <row r="49" spans="1:9" x14ac:dyDescent="0.25">
      <c r="A49">
        <v>4</v>
      </c>
      <c r="B49">
        <v>8192</v>
      </c>
      <c r="C49">
        <v>16</v>
      </c>
      <c r="D49">
        <v>1</v>
      </c>
      <c r="E49">
        <v>8</v>
      </c>
      <c r="F49">
        <v>21.235099999999999</v>
      </c>
      <c r="G49">
        <v>31</v>
      </c>
      <c r="H49">
        <f t="shared" si="0"/>
        <v>429.79809391055375</v>
      </c>
      <c r="I49">
        <f t="shared" si="1"/>
        <v>294.41308077419353</v>
      </c>
    </row>
    <row r="50" spans="1:9" x14ac:dyDescent="0.25">
      <c r="A50">
        <v>4</v>
      </c>
      <c r="B50">
        <v>8192</v>
      </c>
      <c r="C50">
        <v>16</v>
      </c>
      <c r="D50">
        <v>1</v>
      </c>
      <c r="E50">
        <v>12</v>
      </c>
      <c r="F50">
        <v>24.6233</v>
      </c>
      <c r="G50">
        <v>42</v>
      </c>
      <c r="H50">
        <f t="shared" si="0"/>
        <v>555.98592617561417</v>
      </c>
      <c r="I50">
        <f t="shared" si="1"/>
        <v>325.9573394285714</v>
      </c>
    </row>
    <row r="51" spans="1:9" s="6" customFormat="1" x14ac:dyDescent="0.25">
      <c r="A51" s="6">
        <v>4</v>
      </c>
      <c r="B51" s="6">
        <v>8192</v>
      </c>
      <c r="C51" s="6">
        <v>16</v>
      </c>
      <c r="D51" s="6">
        <v>1</v>
      </c>
      <c r="E51" s="6">
        <v>16</v>
      </c>
      <c r="F51" s="7">
        <v>28.799200000000003</v>
      </c>
      <c r="G51" s="6">
        <v>53</v>
      </c>
      <c r="H51">
        <f t="shared" si="0"/>
        <v>633.82354398733298</v>
      </c>
      <c r="I51">
        <f t="shared" si="1"/>
        <v>344.4077548679245</v>
      </c>
    </row>
    <row r="52" spans="1:9" x14ac:dyDescent="0.25">
      <c r="A52">
        <v>4</v>
      </c>
      <c r="B52">
        <v>8192</v>
      </c>
      <c r="C52">
        <v>16</v>
      </c>
      <c r="D52">
        <v>1</v>
      </c>
      <c r="E52">
        <v>24</v>
      </c>
      <c r="F52">
        <v>33.711300000000001</v>
      </c>
      <c r="G52">
        <v>84</v>
      </c>
      <c r="H52">
        <f t="shared" si="0"/>
        <v>812.20292637780199</v>
      </c>
      <c r="I52">
        <f t="shared" si="1"/>
        <v>325.9573394285714</v>
      </c>
    </row>
    <row r="53" spans="1:9" x14ac:dyDescent="0.25">
      <c r="A53">
        <v>4</v>
      </c>
      <c r="B53">
        <v>8192</v>
      </c>
      <c r="C53">
        <v>16</v>
      </c>
      <c r="D53">
        <v>1</v>
      </c>
      <c r="E53">
        <v>32</v>
      </c>
      <c r="F53">
        <v>40.883200000000002</v>
      </c>
      <c r="G53">
        <v>86</v>
      </c>
      <c r="H53">
        <f t="shared" si="0"/>
        <v>892.96390732623661</v>
      </c>
      <c r="I53">
        <f t="shared" si="1"/>
        <v>424.5025815813953</v>
      </c>
    </row>
    <row r="54" spans="1:9" x14ac:dyDescent="0.25">
      <c r="A54">
        <v>4</v>
      </c>
      <c r="B54">
        <v>8192</v>
      </c>
      <c r="C54">
        <v>16</v>
      </c>
      <c r="D54">
        <v>1</v>
      </c>
      <c r="E54">
        <v>48</v>
      </c>
      <c r="F54">
        <v>59.642999999999994</v>
      </c>
      <c r="G54">
        <v>161</v>
      </c>
      <c r="H54">
        <f t="shared" si="0"/>
        <v>918.14350425028931</v>
      </c>
      <c r="I54">
        <f t="shared" si="1"/>
        <v>340.12939766459624</v>
      </c>
    </row>
    <row r="55" spans="1:9" x14ac:dyDescent="0.25">
      <c r="A55">
        <v>4</v>
      </c>
      <c r="B55">
        <v>8192</v>
      </c>
      <c r="C55">
        <v>16</v>
      </c>
      <c r="D55">
        <v>1</v>
      </c>
      <c r="E55">
        <v>64</v>
      </c>
      <c r="F55">
        <v>69.7393</v>
      </c>
      <c r="G55">
        <v>175</v>
      </c>
      <c r="H55">
        <f t="shared" si="0"/>
        <v>1046.9626743027245</v>
      </c>
      <c r="I55">
        <f t="shared" si="1"/>
        <v>417.22539446857144</v>
      </c>
    </row>
    <row r="56" spans="1:9" x14ac:dyDescent="0.25">
      <c r="A56">
        <v>4</v>
      </c>
      <c r="B56">
        <v>8192</v>
      </c>
      <c r="C56">
        <v>16</v>
      </c>
      <c r="D56">
        <v>1</v>
      </c>
      <c r="E56">
        <v>96</v>
      </c>
      <c r="F56">
        <v>102.7</v>
      </c>
      <c r="G56">
        <v>246</v>
      </c>
      <c r="H56">
        <f t="shared" si="0"/>
        <v>1066.4232331840312</v>
      </c>
      <c r="I56">
        <f t="shared" si="1"/>
        <v>445.21002458536583</v>
      </c>
    </row>
    <row r="57" spans="1:9" x14ac:dyDescent="0.25">
      <c r="A57">
        <v>4</v>
      </c>
      <c r="B57">
        <v>8192</v>
      </c>
      <c r="C57">
        <v>16</v>
      </c>
      <c r="D57">
        <v>1</v>
      </c>
      <c r="E57">
        <v>128</v>
      </c>
      <c r="F57">
        <v>128.4</v>
      </c>
      <c r="G57">
        <v>317</v>
      </c>
      <c r="H57">
        <f t="shared" si="0"/>
        <v>1137.296636012461</v>
      </c>
      <c r="I57">
        <f t="shared" si="1"/>
        <v>460.65895288328073</v>
      </c>
    </row>
    <row r="58" spans="1:9" x14ac:dyDescent="0.25">
      <c r="A58">
        <v>4</v>
      </c>
      <c r="B58">
        <v>8192</v>
      </c>
      <c r="C58">
        <v>16</v>
      </c>
      <c r="D58">
        <v>1</v>
      </c>
      <c r="E58">
        <v>256</v>
      </c>
      <c r="F58">
        <v>231.6</v>
      </c>
      <c r="G58">
        <v>571</v>
      </c>
      <c r="H58">
        <f t="shared" si="0"/>
        <v>1261.0439383765113</v>
      </c>
      <c r="I58">
        <f t="shared" si="1"/>
        <v>511.48472176532397</v>
      </c>
    </row>
    <row r="59" spans="1:9" x14ac:dyDescent="0.25">
      <c r="A59">
        <v>4</v>
      </c>
      <c r="B59">
        <v>8192</v>
      </c>
      <c r="C59">
        <v>16</v>
      </c>
      <c r="D59">
        <v>1</v>
      </c>
      <c r="E59">
        <v>512</v>
      </c>
      <c r="F59">
        <v>471.8</v>
      </c>
      <c r="G59">
        <v>1095</v>
      </c>
      <c r="H59">
        <f t="shared" si="0"/>
        <v>1238.0575503518442</v>
      </c>
      <c r="I59">
        <f t="shared" si="1"/>
        <v>533.43886050776257</v>
      </c>
    </row>
    <row r="60" spans="1:9" x14ac:dyDescent="0.25">
      <c r="E60" s="2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39aa4b3-b62d-42bf-8097-75e2c573ddfa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Attention</vt:lpstr>
      <vt:lpstr>Attention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Wenquan</dc:creator>
  <cp:lastModifiedBy>Yang, Wenquan</cp:lastModifiedBy>
  <dcterms:created xsi:type="dcterms:W3CDTF">2015-06-05T18:17:20Z</dcterms:created>
  <dcterms:modified xsi:type="dcterms:W3CDTF">2026-05-25T08:51:59Z</dcterms:modified>
</cp:coreProperties>
</file>